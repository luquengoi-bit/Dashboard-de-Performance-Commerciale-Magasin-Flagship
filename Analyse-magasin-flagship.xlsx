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xr:revisionPtr revIDLastSave="0" documentId="8_{5C2874FF-A62E-40F2-9D2F-8AB823038CD4}" xr6:coauthVersionLast="47" xr6:coauthVersionMax="47" xr10:uidLastSave="{00000000-0000-0000-0000-000000000000}"/>
  <bookViews>
    <workbookView xWindow="240" yWindow="105" windowWidth="14805" windowHeight="8010" firstSheet="1" activeTab="1" xr2:uid="{00000000-000D-0000-FFFF-FFFF00000000}"/>
  </bookViews>
  <sheets>
    <sheet name="Tableau de bord Magasin" sheetId="1" r:id="rId1"/>
    <sheet name="Tableau de bord vetemen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 r="O6" i="2"/>
  <c r="E6" i="2"/>
  <c r="O5" i="2"/>
  <c r="O4" i="2"/>
  <c r="O3" i="2"/>
  <c r="D5" i="2"/>
  <c r="D4" i="2"/>
  <c r="D3" i="2"/>
  <c r="G5" i="2"/>
  <c r="K5" i="2"/>
  <c r="G4" i="2"/>
  <c r="K4" i="2"/>
  <c r="G3" i="2"/>
  <c r="K3" i="2"/>
  <c r="Q5" i="2"/>
  <c r="Q4" i="2"/>
  <c r="Q3" i="2"/>
  <c r="P5" i="2"/>
  <c r="R5" i="2"/>
  <c r="P4" i="2"/>
  <c r="R4" i="2"/>
  <c r="P3" i="2"/>
  <c r="R3" i="2"/>
  <c r="F5" i="2"/>
  <c r="F4" i="2"/>
  <c r="E5" i="2"/>
  <c r="E4" i="2"/>
  <c r="E3" i="2"/>
  <c r="F3" i="2"/>
  <c r="I3" i="1"/>
  <c r="L3" i="1"/>
  <c r="O3" i="1"/>
  <c r="O4" i="1"/>
  <c r="L4" i="1"/>
  <c r="I4" i="1"/>
  <c r="K5" i="1"/>
  <c r="J5" i="1"/>
  <c r="H5" i="1"/>
  <c r="G5" i="1"/>
  <c r="C5" i="1"/>
  <c r="B5" i="1"/>
  <c r="D4" i="1"/>
  <c r="D3" i="1"/>
  <c r="N4" i="1"/>
  <c r="N3" i="1"/>
  <c r="M4" i="1"/>
  <c r="M3" i="1"/>
  <c r="H4" i="1"/>
  <c r="H3" i="1"/>
  <c r="G4" i="1"/>
  <c r="G3" i="1"/>
  <c r="J3" i="2"/>
  <c r="L3" i="2"/>
  <c r="H3" i="2"/>
  <c r="I3" i="2"/>
  <c r="J4" i="2"/>
  <c r="L4" i="2"/>
  <c r="H4" i="2"/>
  <c r="I4" i="2"/>
  <c r="J5" i="2"/>
  <c r="L5" i="2"/>
  <c r="H5" i="2"/>
  <c r="I5" i="2"/>
</calcChain>
</file>

<file path=xl/sharedStrings.xml><?xml version="1.0" encoding="utf-8"?>
<sst xmlns="http://schemas.openxmlformats.org/spreadsheetml/2006/main" count="51" uniqueCount="23">
  <si>
    <t>CA</t>
  </si>
  <si>
    <t>Cout d'achat</t>
  </si>
  <si>
    <t>Marge</t>
  </si>
  <si>
    <t>Nb de ventes</t>
  </si>
  <si>
    <t>Panier moyen</t>
  </si>
  <si>
    <t>N</t>
  </si>
  <si>
    <t>N-1</t>
  </si>
  <si>
    <t>évolution</t>
  </si>
  <si>
    <t>Magasin</t>
  </si>
  <si>
    <t>Secteur</t>
  </si>
  <si>
    <t>Contribution</t>
  </si>
  <si>
    <t>MARGE</t>
  </si>
  <si>
    <t>TAUX DE MARQUE</t>
  </si>
  <si>
    <t>NB DE VENTES</t>
  </si>
  <si>
    <t>PANIER MOYEN</t>
  </si>
  <si>
    <t>COUT ACHAT</t>
  </si>
  <si>
    <t>CONTRI</t>
  </si>
  <si>
    <t>EVOLUTION</t>
  </si>
  <si>
    <t>EVOL</t>
  </si>
  <si>
    <t>VGP</t>
  </si>
  <si>
    <t>VT</t>
  </si>
  <si>
    <t>CETB</t>
  </si>
  <si>
    <t>secteur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</si>
</sst>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2">
    <font>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0" fontId="0" fillId="0" borderId="0" xfId="0" applyNumberFormat="1"/>
    <xf numFmtId="0" fontId="0" fillId="0" borderId="1" xfId="0" applyBorder="1"/>
    <xf numFmtId="10" fontId="0" fillId="0" borderId="1" xfId="0" applyNumberFormat="1" applyBorder="1"/>
    <xf numFmtId="164" fontId="0" fillId="0" borderId="1" xfId="0" applyNumberFormat="1" applyBorder="1"/>
    <xf numFmtId="0" fontId="0" fillId="0" borderId="1" xfId="0" applyBorder="1" applyAlignment="1">
      <alignment horizontal="center"/>
    </xf>
    <xf numFmtId="10" fontId="0" fillId="0" borderId="1" xfId="1" applyNumberFormat="1" applyFont="1" applyBorder="1"/>
  </cellXfs>
  <cellStyles count="2">
    <cellStyle name="Normal" xfId="0" builtinId="0"/>
    <cellStyle name="Pourcentag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 secteur vetements N</a:t>
            </a:r>
          </a:p>
        </c:rich>
      </c:tx>
      <c:layout>
        <c:manualLayout>
          <c:xMode val="edge"/>
          <c:yMode val="edge"/>
          <c:x val="0.2926179169448759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16-4F46-93AA-B5A6BEA59D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16-4F46-93AA-B5A6BEA59D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16-4F46-93AA-B5A6BEA59D83}"/>
              </c:ext>
            </c:extLst>
          </c:dPt>
          <c:cat>
            <c:strRef>
              <c:f>'Tableau de bord vetements'!$A$3:$A$5</c:f>
              <c:strCache>
                <c:ptCount val="3"/>
                <c:pt idx="0">
                  <c:v>VGP</c:v>
                </c:pt>
                <c:pt idx="1">
                  <c:v>VT</c:v>
                </c:pt>
                <c:pt idx="2">
                  <c:v>CETB</c:v>
                </c:pt>
              </c:strCache>
            </c:strRef>
          </c:cat>
          <c:val>
            <c:numRef>
              <c:f>'Tableau de bord vetements'!$B$3:$B$5</c:f>
              <c:numCache>
                <c:formatCode>General</c:formatCode>
                <c:ptCount val="3"/>
                <c:pt idx="0">
                  <c:v>84960</c:v>
                </c:pt>
                <c:pt idx="1">
                  <c:v>16620</c:v>
                </c:pt>
                <c:pt idx="2">
                  <c:v>32280</c:v>
                </c:pt>
              </c:numCache>
            </c:numRef>
          </c:val>
          <c:extLst>
            <c:ext xmlns:c16="http://schemas.microsoft.com/office/drawing/2014/chart" uri="{C3380CC4-5D6E-409C-BE32-E72D297353CC}">
              <c16:uniqueId val="{00000001-4543-4C4F-8478-A8EA6063736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Marge secteur vetement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7A-4CCA-89A4-8688AC420A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7A-4CCA-89A4-8688AC420A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7A-4CCA-89A4-8688AC420A10}"/>
              </c:ext>
            </c:extLst>
          </c:dPt>
          <c:val>
            <c:numRef>
              <c:f>'Tableau de bord vetements'!$F$3:$F$5</c:f>
              <c:numCache>
                <c:formatCode>General</c:formatCode>
                <c:ptCount val="3"/>
                <c:pt idx="0">
                  <c:v>19840</c:v>
                </c:pt>
                <c:pt idx="1">
                  <c:v>9560</c:v>
                </c:pt>
                <c:pt idx="2">
                  <c:v>11950</c:v>
                </c:pt>
              </c:numCache>
            </c:numRef>
          </c:val>
          <c:extLst>
            <c:ext xmlns:c16="http://schemas.microsoft.com/office/drawing/2014/chart" uri="{C3380CC4-5D6E-409C-BE32-E72D297353CC}">
              <c16:uniqueId val="{00000001-DB9D-42F9-9771-7D6ABDF0B35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615852532296043"/>
          <c:y val="0.83947856625857631"/>
          <c:w val="0.19208672323161821"/>
          <c:h val="0.1184218814753419"/>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TDM secteur vetement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A0-4EB5-9C96-738FFC28E9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A0-4EB5-9C96-738FFC28E9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A0-4EB5-9C96-738FFC28E945}"/>
              </c:ext>
            </c:extLst>
          </c:dPt>
          <c:val>
            <c:numRef>
              <c:f>'Tableau de bord vetements'!$J$3:$J$5</c:f>
              <c:numCache>
                <c:formatCode>0.00%</c:formatCode>
                <c:ptCount val="3"/>
                <c:pt idx="0">
                  <c:v>0.2335216572504708</c:v>
                </c:pt>
                <c:pt idx="1">
                  <c:v>0.5752105896510229</c:v>
                </c:pt>
                <c:pt idx="2">
                  <c:v>0.3701982651796778</c:v>
                </c:pt>
              </c:numCache>
            </c:numRef>
          </c:val>
          <c:extLst>
            <c:ext xmlns:c16="http://schemas.microsoft.com/office/drawing/2014/chart" uri="{C3380CC4-5D6E-409C-BE32-E72D297353CC}">
              <c16:uniqueId val="{00000001-6F46-4993-84FC-C2F3337B3C0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Pm secteur vetement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38-468E-B502-C2E586B44E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38-468E-B502-C2E586B44E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38-468E-B502-C2E586B44ED5}"/>
              </c:ext>
            </c:extLst>
          </c:dPt>
          <c:val>
            <c:numRef>
              <c:f>'Tableau de bord vetements'!$P$3:$P$5</c:f>
              <c:numCache>
                <c:formatCode>_-* #,##0.00\ _€_-;\-* #,##0.00\ _€_-;_-* "-"??\ _€_-;_-@_-</c:formatCode>
                <c:ptCount val="3"/>
                <c:pt idx="0">
                  <c:v>18.397574707665655</c:v>
                </c:pt>
                <c:pt idx="1">
                  <c:v>55.033112582781456</c:v>
                </c:pt>
                <c:pt idx="2">
                  <c:v>40.451127819548873</c:v>
                </c:pt>
              </c:numCache>
            </c:numRef>
          </c:val>
          <c:extLst>
            <c:ext xmlns:c16="http://schemas.microsoft.com/office/drawing/2014/chart" uri="{C3380CC4-5D6E-409C-BE32-E72D297353CC}">
              <c16:uniqueId val="{00000001-9F74-4A97-80E9-9CAC4BE64AA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142875</xdr:rowOff>
    </xdr:from>
    <xdr:to>
      <xdr:col>14</xdr:col>
      <xdr:colOff>104775</xdr:colOff>
      <xdr:row>19</xdr:row>
      <xdr:rowOff>28575</xdr:rowOff>
    </xdr:to>
    <xdr:sp macro="" textlink="">
      <xdr:nvSpPr>
        <xdr:cNvPr id="2" name="ZoneTexte 1">
          <a:extLst>
            <a:ext uri="{FF2B5EF4-FFF2-40B4-BE49-F238E27FC236}">
              <a16:creationId xmlns:a16="http://schemas.microsoft.com/office/drawing/2014/main" id="{BB64B507-42DF-9245-1AFA-7AE34751FEEF}"/>
            </a:ext>
          </a:extLst>
        </xdr:cNvPr>
        <xdr:cNvSpPr txBox="1"/>
      </xdr:nvSpPr>
      <xdr:spPr>
        <a:xfrm>
          <a:off x="857250" y="1476375"/>
          <a:ext cx="8029575" cy="2171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On constate que le chiffre d'affaire du magasin évolue de 2,70 % entre N-1 et N, le chiffe d'affaire du secteur de vetements lui a subi une hausse de 4,28% et il contribue a 20% du CA global du magasin. En revanche la marge du magasin n'augmente pas entre N-1 et N malgré la hausse du CA et la marge du rayon vetements est en baisse. Nos ventes diminue mais le panier augmente car les vetments sont vendu a des prix plus bas c'est a dire faire des promotions, le secteur vetements est un rayon qui marge mal -7, sois on a diminué la marque, mais on en a vendu plus car le magasin était en promotion. On constate que le nb de vente de vetment a augmenté ce qui montre que dans ce rayon on fait beaucoup de vente avec un faible marge c'est a dire de la promtion cela concorde avec la baisse du panier moyen du rayon vetements. En conclusion dans le secteur vetement il y a beaucoup de petites ventes a faibles marge ce qui dégrade la marge de -7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257175</xdr:colOff>
      <xdr:row>6</xdr:row>
      <xdr:rowOff>152400</xdr:rowOff>
    </xdr:from>
    <xdr:to>
      <xdr:col>8</xdr:col>
      <xdr:colOff>476250</xdr:colOff>
      <xdr:row>14</xdr:row>
      <xdr:rowOff>152400</xdr:rowOff>
    </xdr:to>
    <xdr:sp macro="" textlink="">
      <xdr:nvSpPr>
        <xdr:cNvPr id="2" name="ZoneTexte 1">
          <a:extLst>
            <a:ext uri="{FF2B5EF4-FFF2-40B4-BE49-F238E27FC236}">
              <a16:creationId xmlns:a16="http://schemas.microsoft.com/office/drawing/2014/main" id="{5EDF2CC1-C4AB-DE75-1882-A6737B53A448}"/>
            </a:ext>
          </a:extLst>
        </xdr:cNvPr>
        <xdr:cNvSpPr txBox="1"/>
      </xdr:nvSpPr>
      <xdr:spPr>
        <a:xfrm>
          <a:off x="866775" y="1295400"/>
          <a:ext cx="5162550" cy="15240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On constate que le CA du secteur chaussures et bottes évolue de 0.25% entre l'année N et N-1,  quant au secteur vetements grand public lui a subi une hausse de 9.16% et elle contribue a 63.47% du CA, on peut aussi observer une grosse perte pour le secteur des vetements techniques car il a baissé de 9.38% ce qui est énorme. En revanche la marge n'augmente toujours pas entre N et N-1 malgré la hausse du CA. Nos ventes diminue pour les secteurs VT et CETB mais leur panier moyen augmente car on met les prix les plus bas, tandis que les ventes du secteur VGP augmente</a:t>
          </a:r>
        </a:p>
      </xdr:txBody>
    </xdr:sp>
    <xdr:clientData/>
  </xdr:twoCellAnchor>
  <xdr:twoCellAnchor>
    <xdr:from>
      <xdr:col>17</xdr:col>
      <xdr:colOff>0</xdr:colOff>
      <xdr:row>6</xdr:row>
      <xdr:rowOff>66675</xdr:rowOff>
    </xdr:from>
    <xdr:to>
      <xdr:col>21</xdr:col>
      <xdr:colOff>285750</xdr:colOff>
      <xdr:row>14</xdr:row>
      <xdr:rowOff>95250</xdr:rowOff>
    </xdr:to>
    <xdr:graphicFrame macro="">
      <xdr:nvGraphicFramePr>
        <xdr:cNvPr id="5" name="Graphique 4">
          <a:extLst>
            <a:ext uri="{FF2B5EF4-FFF2-40B4-BE49-F238E27FC236}">
              <a16:creationId xmlns:a16="http://schemas.microsoft.com/office/drawing/2014/main" id="{E13054A2-3EA2-9036-B344-114236E3EAF9}"/>
            </a:ext>
            <a:ext uri="{147F2762-F138-4A5C-976F-8EAC2B608ADB}">
              <a16:predDERef xmlns:a16="http://schemas.microsoft.com/office/drawing/2014/main" pred="{5EDF2CC1-C4AB-DE75-1882-A6737B53A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15</xdr:row>
      <xdr:rowOff>142875</xdr:rowOff>
    </xdr:from>
    <xdr:to>
      <xdr:col>8</xdr:col>
      <xdr:colOff>314325</xdr:colOff>
      <xdr:row>25</xdr:row>
      <xdr:rowOff>47625</xdr:rowOff>
    </xdr:to>
    <xdr:graphicFrame macro="">
      <xdr:nvGraphicFramePr>
        <xdr:cNvPr id="6" name="Graphique 5">
          <a:extLst>
            <a:ext uri="{FF2B5EF4-FFF2-40B4-BE49-F238E27FC236}">
              <a16:creationId xmlns:a16="http://schemas.microsoft.com/office/drawing/2014/main" id="{CD105D75-562C-0685-EBD6-05C0E0898ACA}"/>
            </a:ext>
            <a:ext uri="{147F2762-F138-4A5C-976F-8EAC2B608ADB}">
              <a16:predDERef xmlns:a16="http://schemas.microsoft.com/office/drawing/2014/main" pred="{E13054A2-3EA2-9036-B344-114236E3E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552450</xdr:colOff>
      <xdr:row>6</xdr:row>
      <xdr:rowOff>180975</xdr:rowOff>
    </xdr:from>
    <xdr:to>
      <xdr:col>16</xdr:col>
      <xdr:colOff>123825</xdr:colOff>
      <xdr:row>17</xdr:row>
      <xdr:rowOff>28575</xdr:rowOff>
    </xdr:to>
    <xdr:graphicFrame macro="">
      <xdr:nvGraphicFramePr>
        <xdr:cNvPr id="7" name="Graphique 6">
          <a:extLst>
            <a:ext uri="{FF2B5EF4-FFF2-40B4-BE49-F238E27FC236}">
              <a16:creationId xmlns:a16="http://schemas.microsoft.com/office/drawing/2014/main" id="{1257AB90-DA5B-043A-2DFF-3705C2F2DC21}"/>
            </a:ext>
            <a:ext uri="{147F2762-F138-4A5C-976F-8EAC2B608ADB}">
              <a16:predDERef xmlns:a16="http://schemas.microsoft.com/office/drawing/2014/main" pred="{CD105D75-562C-0685-EBD6-05C0E0898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18</xdr:row>
      <xdr:rowOff>76200</xdr:rowOff>
    </xdr:from>
    <xdr:to>
      <xdr:col>13</xdr:col>
      <xdr:colOff>295275</xdr:colOff>
      <xdr:row>27</xdr:row>
      <xdr:rowOff>161925</xdr:rowOff>
    </xdr:to>
    <xdr:graphicFrame macro="">
      <xdr:nvGraphicFramePr>
        <xdr:cNvPr id="8" name="Graphique 7">
          <a:extLst>
            <a:ext uri="{FF2B5EF4-FFF2-40B4-BE49-F238E27FC236}">
              <a16:creationId xmlns:a16="http://schemas.microsoft.com/office/drawing/2014/main" id="{78169DD2-2DAE-39B8-9B99-A3067A3BEF60}"/>
            </a:ext>
            <a:ext uri="{147F2762-F138-4A5C-976F-8EAC2B608ADB}">
              <a16:predDERef xmlns:a16="http://schemas.microsoft.com/office/drawing/2014/main" pred="{1257AB90-DA5B-043A-2DFF-3705C2F2D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workbookViewId="0">
      <selection activeCell="R14" sqref="R14"/>
    </sheetView>
  </sheetViews>
  <sheetFormatPr defaultRowHeight="15"/>
  <cols>
    <col min="1" max="1" width="12.5703125" customWidth="1"/>
    <col min="9" max="9" width="9.28515625" bestFit="1" customWidth="1"/>
    <col min="12" max="12" width="9.28515625" bestFit="1" customWidth="1"/>
    <col min="15" max="15" width="9.28515625" bestFit="1" customWidth="1"/>
  </cols>
  <sheetData>
    <row r="1" spans="1:15">
      <c r="A1" s="2"/>
      <c r="B1" s="5" t="s">
        <v>0</v>
      </c>
      <c r="C1" s="5"/>
      <c r="D1" s="5"/>
      <c r="E1" s="5" t="s">
        <v>1</v>
      </c>
      <c r="F1" s="5"/>
      <c r="G1" s="5" t="s">
        <v>2</v>
      </c>
      <c r="H1" s="5"/>
      <c r="I1" s="5"/>
      <c r="J1" s="5" t="s">
        <v>3</v>
      </c>
      <c r="K1" s="5"/>
      <c r="L1" s="5"/>
      <c r="M1" s="5" t="s">
        <v>4</v>
      </c>
      <c r="N1" s="5"/>
      <c r="O1" s="5"/>
    </row>
    <row r="2" spans="1:15">
      <c r="A2" s="2"/>
      <c r="B2" s="2" t="s">
        <v>5</v>
      </c>
      <c r="C2" s="2" t="s">
        <v>6</v>
      </c>
      <c r="D2" s="2" t="s">
        <v>7</v>
      </c>
      <c r="E2" s="2" t="s">
        <v>5</v>
      </c>
      <c r="F2" s="2" t="s">
        <v>6</v>
      </c>
      <c r="G2" s="2" t="s">
        <v>5</v>
      </c>
      <c r="H2" s="2" t="s">
        <v>6</v>
      </c>
      <c r="I2" s="2" t="s">
        <v>7</v>
      </c>
      <c r="J2" s="2" t="s">
        <v>5</v>
      </c>
      <c r="K2" s="2" t="s">
        <v>6</v>
      </c>
      <c r="L2" s="2" t="s">
        <v>7</v>
      </c>
      <c r="M2" s="2" t="s">
        <v>5</v>
      </c>
      <c r="N2" s="2" t="s">
        <v>6</v>
      </c>
      <c r="O2" s="2" t="s">
        <v>7</v>
      </c>
    </row>
    <row r="3" spans="1:15">
      <c r="A3" s="2" t="s">
        <v>8</v>
      </c>
      <c r="B3" s="2">
        <v>669858</v>
      </c>
      <c r="C3" s="2">
        <v>652230</v>
      </c>
      <c r="D3" s="3">
        <f>(B3-C3)/C3</f>
        <v>2.702727565429373E-2</v>
      </c>
      <c r="E3" s="2">
        <v>397790</v>
      </c>
      <c r="F3" s="2">
        <v>381130</v>
      </c>
      <c r="G3" s="2">
        <f>B3-E3</f>
        <v>272068</v>
      </c>
      <c r="H3" s="2">
        <f>C3-F3</f>
        <v>271100</v>
      </c>
      <c r="I3" s="3">
        <f>(G3-H3)/H3</f>
        <v>3.5706381409074143E-3</v>
      </c>
      <c r="J3" s="2">
        <v>13585</v>
      </c>
      <c r="K3" s="2">
        <v>14102</v>
      </c>
      <c r="L3" s="6">
        <f>(J3-K3)/K3</f>
        <v>-3.6661466458658344E-2</v>
      </c>
      <c r="M3" s="2">
        <f>B3/J3</f>
        <v>49.308649245491353</v>
      </c>
      <c r="N3" s="2">
        <f>C3/K3</f>
        <v>46.25088639909233</v>
      </c>
      <c r="O3" s="6">
        <f>(M3-N3)/N3</f>
        <v>6.6112524201461159E-2</v>
      </c>
    </row>
    <row r="4" spans="1:15">
      <c r="A4" s="2" t="s">
        <v>9</v>
      </c>
      <c r="B4" s="2">
        <v>133860</v>
      </c>
      <c r="C4" s="2">
        <v>128370</v>
      </c>
      <c r="D4" s="3">
        <f>(B4-C4)/C4</f>
        <v>4.2767001635896237E-2</v>
      </c>
      <c r="E4" s="2">
        <v>92510</v>
      </c>
      <c r="F4" s="2">
        <v>83910</v>
      </c>
      <c r="G4" s="2">
        <f>B4-E4</f>
        <v>41350</v>
      </c>
      <c r="H4" s="2">
        <f>C4-F4</f>
        <v>44460</v>
      </c>
      <c r="I4" s="3">
        <f>(G4-H4)/H4</f>
        <v>-6.9950517318938366E-2</v>
      </c>
      <c r="J4" s="2">
        <v>5718</v>
      </c>
      <c r="K4" s="2">
        <v>4392</v>
      </c>
      <c r="L4" s="6">
        <f>(J4-K4)/K4</f>
        <v>0.30191256830601093</v>
      </c>
      <c r="M4" s="2">
        <f>B4/J4</f>
        <v>23.410283315844701</v>
      </c>
      <c r="N4" s="2">
        <f>C4/K4</f>
        <v>29.228142076502731</v>
      </c>
      <c r="O4" s="6">
        <f>(M4-N4)/N4</f>
        <v>-0.1990499001075802</v>
      </c>
    </row>
    <row r="5" spans="1:15">
      <c r="A5" s="2" t="s">
        <v>10</v>
      </c>
      <c r="B5" s="3">
        <f>B4/B3</f>
        <v>0.19983339752604284</v>
      </c>
      <c r="C5" s="3">
        <f>C4/C3</f>
        <v>0.19681707373165908</v>
      </c>
      <c r="D5" s="3"/>
      <c r="E5" s="3"/>
      <c r="F5" s="3"/>
      <c r="G5" s="3">
        <f>G4/G3</f>
        <v>0.15198406280782745</v>
      </c>
      <c r="H5" s="3">
        <f>H4/H3</f>
        <v>0.16399852452969385</v>
      </c>
      <c r="I5" s="2"/>
      <c r="J5" s="3">
        <f>J4/J3</f>
        <v>0.42090541037909457</v>
      </c>
      <c r="K5" s="3">
        <f>K4/K3</f>
        <v>0.31144518508013047</v>
      </c>
      <c r="L5" s="2"/>
      <c r="M5" s="2"/>
      <c r="N5" s="2"/>
      <c r="O5" s="2"/>
    </row>
    <row r="6" spans="1:15">
      <c r="A6" s="1"/>
    </row>
  </sheetData>
  <mergeCells count="5">
    <mergeCell ref="B1:D1"/>
    <mergeCell ref="E1:F1"/>
    <mergeCell ref="G1:I1"/>
    <mergeCell ref="J1:L1"/>
    <mergeCell ref="M1:O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349D-3FE0-40BC-85A6-4DB2628C1CF2}">
  <dimension ref="A1:T6"/>
  <sheetViews>
    <sheetView tabSelected="1" workbookViewId="0">
      <selection activeCell="O22" sqref="O22"/>
    </sheetView>
  </sheetViews>
  <sheetFormatPr defaultRowHeight="15"/>
  <cols>
    <col min="3" max="3" width="10.140625" customWidth="1"/>
    <col min="4" max="4" width="14.140625" customWidth="1"/>
    <col min="5" max="5" width="13.28515625" customWidth="1"/>
    <col min="9" max="9" width="11.28515625" customWidth="1"/>
  </cols>
  <sheetData>
    <row r="1" spans="1:20">
      <c r="A1" s="2"/>
      <c r="B1" s="5" t="s">
        <v>0</v>
      </c>
      <c r="C1" s="5"/>
      <c r="D1" s="5"/>
      <c r="E1" s="5"/>
      <c r="F1" s="5" t="s">
        <v>11</v>
      </c>
      <c r="G1" s="5"/>
      <c r="H1" s="5"/>
      <c r="I1" s="5"/>
      <c r="J1" s="5" t="s">
        <v>12</v>
      </c>
      <c r="K1" s="5"/>
      <c r="L1" s="5"/>
      <c r="M1" s="5" t="s">
        <v>13</v>
      </c>
      <c r="N1" s="5"/>
      <c r="O1" s="5"/>
      <c r="P1" s="5" t="s">
        <v>14</v>
      </c>
      <c r="Q1" s="5"/>
      <c r="R1" s="5"/>
      <c r="S1" s="5" t="s">
        <v>15</v>
      </c>
      <c r="T1" s="5"/>
    </row>
    <row r="2" spans="1:20">
      <c r="A2" s="2"/>
      <c r="B2" s="2" t="s">
        <v>5</v>
      </c>
      <c r="C2" s="2" t="s">
        <v>6</v>
      </c>
      <c r="D2" s="2" t="s">
        <v>16</v>
      </c>
      <c r="E2" s="2" t="s">
        <v>17</v>
      </c>
      <c r="F2" s="2" t="s">
        <v>5</v>
      </c>
      <c r="G2" s="2" t="s">
        <v>6</v>
      </c>
      <c r="H2" s="2" t="s">
        <v>16</v>
      </c>
      <c r="I2" s="2" t="s">
        <v>18</v>
      </c>
      <c r="J2" s="2" t="s">
        <v>5</v>
      </c>
      <c r="K2" s="2" t="s">
        <v>6</v>
      </c>
      <c r="L2" s="2" t="s">
        <v>18</v>
      </c>
      <c r="M2" s="2" t="s">
        <v>5</v>
      </c>
      <c r="N2" s="2" t="s">
        <v>6</v>
      </c>
      <c r="O2" s="2" t="s">
        <v>18</v>
      </c>
      <c r="P2" s="2" t="s">
        <v>5</v>
      </c>
      <c r="Q2" s="2" t="s">
        <v>6</v>
      </c>
      <c r="R2" s="2" t="s">
        <v>18</v>
      </c>
      <c r="S2" s="2" t="s">
        <v>5</v>
      </c>
      <c r="T2" s="2" t="s">
        <v>6</v>
      </c>
    </row>
    <row r="3" spans="1:20">
      <c r="A3" s="2" t="s">
        <v>19</v>
      </c>
      <c r="B3" s="2">
        <v>84960</v>
      </c>
      <c r="C3" s="2">
        <v>77830</v>
      </c>
      <c r="D3" s="3">
        <f>B3/B6</f>
        <v>0.63469296279695209</v>
      </c>
      <c r="E3" s="3">
        <f>(B3-C3)/C3</f>
        <v>9.1609919054349218E-2</v>
      </c>
      <c r="F3" s="2">
        <f>B3-S3</f>
        <v>19840</v>
      </c>
      <c r="G3" s="2">
        <f>C3-T3</f>
        <v>23020</v>
      </c>
      <c r="H3" s="3">
        <f>F3/B6</f>
        <v>0.14821455251755566</v>
      </c>
      <c r="I3" s="3">
        <f>(F3-G3)/G3</f>
        <v>-0.13814074717636837</v>
      </c>
      <c r="J3" s="3">
        <f>F3/B3</f>
        <v>0.2335216572504708</v>
      </c>
      <c r="K3" s="3">
        <f>G3/C3</f>
        <v>0.29577283823718359</v>
      </c>
      <c r="L3" s="3">
        <f>(J3-K3)/K3</f>
        <v>-0.21046956629869054</v>
      </c>
      <c r="M3" s="2">
        <v>4618</v>
      </c>
      <c r="N3" s="2">
        <v>3177</v>
      </c>
      <c r="O3" s="3">
        <f>(M3-N3)/N3</f>
        <v>0.45357255272269437</v>
      </c>
      <c r="P3" s="4">
        <f>B3/M3</f>
        <v>18.397574707665655</v>
      </c>
      <c r="Q3" s="4">
        <f>C3/N3</f>
        <v>24.497954044696254</v>
      </c>
      <c r="R3" s="3">
        <f>(P3-Q3)/Q3</f>
        <v>-0.24901586989266625</v>
      </c>
      <c r="S3" s="2">
        <v>65120</v>
      </c>
      <c r="T3" s="2">
        <v>54810</v>
      </c>
    </row>
    <row r="4" spans="1:20">
      <c r="A4" s="2" t="s">
        <v>20</v>
      </c>
      <c r="B4" s="2">
        <v>16620</v>
      </c>
      <c r="C4" s="2">
        <v>18340</v>
      </c>
      <c r="D4" s="3">
        <f>B4/B6</f>
        <v>0.12415956969968624</v>
      </c>
      <c r="E4" s="3">
        <f>(B4-C4)/C4</f>
        <v>-9.3784078516902944E-2</v>
      </c>
      <c r="F4" s="2">
        <f>B4-S4</f>
        <v>9560</v>
      </c>
      <c r="G4" s="2">
        <f>C4-T4</f>
        <v>9660</v>
      </c>
      <c r="H4" s="3">
        <f>F4/B6</f>
        <v>7.1417899297773799E-2</v>
      </c>
      <c r="I4" s="3">
        <f>(F4-G4)/G4</f>
        <v>-1.0351966873706004E-2</v>
      </c>
      <c r="J4" s="3">
        <f>F4/B4</f>
        <v>0.5752105896510229</v>
      </c>
      <c r="K4" s="3">
        <f>G4/C4</f>
        <v>0.52671755725190839</v>
      </c>
      <c r="L4" s="3">
        <f>(J4-K4)/K4</f>
        <v>9.2066481801217404E-2</v>
      </c>
      <c r="M4" s="2">
        <v>302</v>
      </c>
      <c r="N4" s="2">
        <v>348</v>
      </c>
      <c r="O4" s="3">
        <f>(M4-N4)/N4</f>
        <v>-0.13218390804597702</v>
      </c>
      <c r="P4" s="4">
        <f>B4/M4</f>
        <v>55.033112582781456</v>
      </c>
      <c r="Q4" s="4">
        <f>C4/N4</f>
        <v>52.701149425287355</v>
      </c>
      <c r="R4" s="3">
        <f>(P4-Q4)/Q4</f>
        <v>4.4248810185820463E-2</v>
      </c>
      <c r="S4" s="2">
        <v>7060</v>
      </c>
      <c r="T4" s="2">
        <v>8680</v>
      </c>
    </row>
    <row r="5" spans="1:20">
      <c r="A5" s="2" t="s">
        <v>21</v>
      </c>
      <c r="B5" s="2">
        <v>32280</v>
      </c>
      <c r="C5" s="2">
        <v>32200</v>
      </c>
      <c r="D5" s="3">
        <f>B5/B6</f>
        <v>0.24114746750336172</v>
      </c>
      <c r="E5" s="3">
        <f>(B5-C5)/C5</f>
        <v>2.4844720496894411E-3</v>
      </c>
      <c r="F5" s="2">
        <f>B5-S5</f>
        <v>11950</v>
      </c>
      <c r="G5" s="2">
        <f>C5-T5</f>
        <v>11780</v>
      </c>
      <c r="H5" s="3">
        <f>F5/B6</f>
        <v>8.9272374122217238E-2</v>
      </c>
      <c r="I5" s="3">
        <f>(F5-G5)/G5</f>
        <v>1.4431239388794566E-2</v>
      </c>
      <c r="J5" s="3">
        <f>F5/B5</f>
        <v>0.3701982651796778</v>
      </c>
      <c r="K5" s="3">
        <f>G5/C5</f>
        <v>0.3658385093167702</v>
      </c>
      <c r="L5" s="3">
        <f>(J5-K5)/K5</f>
        <v>1.1917159489441824E-2</v>
      </c>
      <c r="M5" s="2">
        <v>798</v>
      </c>
      <c r="N5" s="2">
        <v>867</v>
      </c>
      <c r="O5" s="3">
        <f>(M5-N5)/N5</f>
        <v>-7.9584775086505188E-2</v>
      </c>
      <c r="P5" s="4">
        <f>B5/M5</f>
        <v>40.451127819548873</v>
      </c>
      <c r="Q5" s="4">
        <f>C5/N5</f>
        <v>37.139561707035753</v>
      </c>
      <c r="R5" s="3">
        <f>(P5-Q5)/Q5</f>
        <v>8.9165460234437111E-2</v>
      </c>
      <c r="S5" s="2">
        <v>20330</v>
      </c>
      <c r="T5" s="2">
        <v>20420</v>
      </c>
    </row>
    <row r="6" spans="1:20">
      <c r="A6" s="2" t="s">
        <v>22</v>
      </c>
      <c r="B6" s="2">
        <v>133860</v>
      </c>
      <c r="C6" s="2">
        <v>128370</v>
      </c>
      <c r="D6" s="2">
        <f>B6-C6/C6*100</f>
        <v>133760</v>
      </c>
      <c r="E6" s="3">
        <f>(B6-C6)/C6</f>
        <v>4.2767001635896237E-2</v>
      </c>
      <c r="F6" s="2"/>
      <c r="G6" s="2"/>
      <c r="H6" s="2"/>
      <c r="I6" s="2"/>
      <c r="J6" s="2"/>
      <c r="K6" s="2"/>
      <c r="L6" s="2"/>
      <c r="M6" s="2">
        <v>5718</v>
      </c>
      <c r="N6" s="2">
        <v>4392</v>
      </c>
      <c r="O6" s="3">
        <f>(M6-N6)/N6</f>
        <v>0.30191256830601093</v>
      </c>
      <c r="P6" s="2"/>
      <c r="Q6" s="2"/>
      <c r="R6" s="2"/>
      <c r="S6" s="2">
        <v>92510</v>
      </c>
      <c r="T6" s="2">
        <v>83910</v>
      </c>
    </row>
  </sheetData>
  <mergeCells count="6">
    <mergeCell ref="B1:E1"/>
    <mergeCell ref="S1:T1"/>
    <mergeCell ref="F1:I1"/>
    <mergeCell ref="J1:L1"/>
    <mergeCell ref="M1:O1"/>
    <mergeCell ref="P1:R1"/>
  </mergeCells>
  <pageMargins left="0.7" right="0.7" top="0.75" bottom="0.75" header="0.3" footer="0.3"/>
  <pageSetup scale="0" firstPageNumber="0" fitToWidth="0" fitToHeight="0" orientation="landscape" horizontalDpi="0" verticalDpi="0" copies="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2026-04-23T17:44:58Z</dcterms:modified>
  <cp:category/>
  <cp:contentStatus/>
</cp:coreProperties>
</file>